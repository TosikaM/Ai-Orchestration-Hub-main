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algoworks-my.sharepoint.com/personal/tosika_mukherjee_algoworks_com/Documents/Microsoft Teams Chat Files/"/>
    </mc:Choice>
  </mc:AlternateContent>
  <xr:revisionPtr revIDLastSave="8" documentId="8_{C15039AA-FCE3-4356-B58A-7F6494A7CE33}" xr6:coauthVersionLast="47" xr6:coauthVersionMax="47" xr10:uidLastSave="{9B1E046A-E898-4DE8-B381-65ABD91A63EB}"/>
  <bookViews>
    <workbookView xWindow="-110" yWindow="-110" windowWidth="25820" windowHeight="13900" tabRatio="500" xr2:uid="{00000000-000D-0000-FFFF-FFFF00000000}"/>
  </bookViews>
  <sheets>
    <sheet name="Feature Detail" sheetId="4" r:id="rId1"/>
  </sheets>
  <definedNames>
    <definedName name="_xlnm._FilterDatabase" localSheetId="0" hidden="1">'Feature Detail'!$A$4:$H$56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4" l="1"/>
</calcChain>
</file>

<file path=xl/sharedStrings.xml><?xml version="1.0" encoding="utf-8"?>
<sst xmlns="http://schemas.openxmlformats.org/spreadsheetml/2006/main" count="367" uniqueCount="142">
  <si>
    <t>Feature Detail — 51 Refined Features (source for Role Summary totals)</t>
  </si>
  <si>
    <t>Sprint</t>
  </si>
  <si>
    <t>Weeks</t>
  </si>
  <si>
    <t>Ref ID</t>
  </si>
  <si>
    <t>Capability Area</t>
  </si>
  <si>
    <t>Refined Feature</t>
  </si>
  <si>
    <t>Complexity</t>
  </si>
  <si>
    <t>Effort (hrs)</t>
  </si>
  <si>
    <t>Skilled Role</t>
  </si>
  <si>
    <t>Mob</t>
  </si>
  <si>
    <t>Weeks 1-2</t>
  </si>
  <si>
    <t>RF-05</t>
  </si>
  <si>
    <t>Security &amp; Auth</t>
  </si>
  <si>
    <r>
      <rPr>
        <sz val="10"/>
        <color rgb="FF000000"/>
        <rFont val="Arial"/>
      </rPr>
      <t>Close the Keycloak-vs-Cognito decision in Week 0 before build starts-</t>
    </r>
    <r>
      <rPr>
        <b/>
        <sz val="10"/>
        <color rgb="FF000000"/>
        <rFont val="Arial"/>
      </rPr>
      <t xml:space="preserve"> Harmony Auth/Cognito decided by client</t>
    </r>
  </si>
  <si>
    <t>S</t>
  </si>
  <si>
    <t>RF-44</t>
  </si>
  <si>
    <t>Data &amp; Architecture</t>
  </si>
  <si>
    <t>Schema evolution is migration-managed (EF Core); hardcoded year constants and versioned parallel schemas prohibited</t>
  </si>
  <si>
    <t>M</t>
  </si>
  <si>
    <t>Data Engineer</t>
  </si>
  <si>
    <t>RF-47</t>
  </si>
  <si>
    <t>Secrets: single ISecretProvider fronting AWS Secrets Manager; path scheme cnp/{env}/{tenant|global}/{category}/{name}; no plaintext in config</t>
  </si>
  <si>
    <t>RF-48</t>
  </si>
  <si>
    <t>DevOps / Environments</t>
  </si>
  <si>
    <t>AWS foundation (Week 0-1): Aurora x2, ECS containers, ElastiCache Redis, Secrets Manager, GitHub CI/CD - nothing else starts before this</t>
  </si>
  <si>
    <t>L</t>
  </si>
  <si>
    <t>DevOps / Platform</t>
  </si>
  <si>
    <t>RF-49</t>
  </si>
  <si>
    <t>Environment posture: dev + staging on shared Aurora; demo + UAT on dedicated clusters; all deploys tag-based; us-east-1 only</t>
  </si>
  <si>
    <t>RF-50</t>
  </si>
  <si>
    <t>Synthetic data only in every environment offshore can touch; the synthetic-data pipeline must exist before offshore work begins (Week 0 gate)</t>
  </si>
  <si>
    <t>RF-51</t>
  </si>
  <si>
    <t>Configuration specialist signs off the demo environment before the October demonstration</t>
  </si>
  <si>
    <t>S1</t>
  </si>
  <si>
    <t>Weeks 3-4</t>
  </si>
  <si>
    <t>RF-01</t>
  </si>
  <si>
    <t>Real OIDC login against the demo-state Keycloak realm; no mock tokens anywhere in the flow</t>
  </si>
  <si>
    <t>RF-02</t>
  </si>
  <si>
    <t>Subdomain-driven tenant resolution: subdomain -&gt; YARP -&gt; Keycloak realm -&gt; ICnpContext selecting cnp_global + the state cnp_ops connection</t>
  </si>
  <si>
    <t>RF-03</t>
  </si>
  <si>
    <t>JWTs carry roles + tenant scopes only (never raw permissions), held in service memory, never localStorage</t>
  </si>
  <si>
    <t>RF-04</t>
  </si>
  <si>
    <t>SSO via Keycloak as OIDC broker, extensible to all states; Phase 1 wires one demo-state realm</t>
  </si>
  <si>
    <t>RF-41</t>
  </si>
  <si>
    <t>Two Aurora PostgreSQL databases: cnp_global (shared) + one cnp_ops (demo state); the database boundary is the tenant boundary</t>
  </si>
  <si>
    <t>RF-45</t>
  </si>
  <si>
    <t>Backend: .NET 8 + MediatR pipeline, net-new build (no copy-paste from legacy CTS/DIS), built to the published interface contracts</t>
  </si>
  <si>
    <t>S2</t>
  </si>
  <si>
    <t>Weeks 5-6</t>
  </si>
  <si>
    <t>RF-20</t>
  </si>
  <si>
    <t>Workflow Engine</t>
  </si>
  <si>
    <t>Every workflow row carries an IsFederal flag; federal states/transitions/conditions/actions are guardrailed at INSERT</t>
  </si>
  <si>
    <t>UI + Backend</t>
  </si>
  <si>
    <t>RF-21</t>
  </si>
  <si>
    <t>Tenant-specific customisation expressed only via TenantTransitionOverrides in cnp_ops - never state-keyed branches in code</t>
  </si>
  <si>
    <t>RF-30</t>
  </si>
  <si>
    <t>Configuration Engine</t>
  </si>
  <si>
    <t>Configuration resolves through 3 layers - Platform Default -&gt; Program Override -&gt; Tenant Override, most-specific-wins</t>
  </si>
  <si>
    <t>RF-31</t>
  </si>
  <si>
    <t>Every key is typed, bounded (Min/Max) and effective-dated; every override needs Effective Date + Justification</t>
  </si>
  <si>
    <t>RF-32</t>
  </si>
  <si>
    <t>IsFederal = true blocks tenant overrides at write time; no endpoint may override a federal-locked value</t>
  </si>
  <si>
    <t>RF-33</t>
  </si>
  <si>
    <t>ICnpConfigService.GetValue&lt;T&gt;() is the sole accessor; direct config-table reads prohibited</t>
  </si>
  <si>
    <t>RF-36</t>
  </si>
  <si>
    <t>~5 module-level LaunchDarkly feature flags wired end-to-end (incl. frontend route guards)</t>
  </si>
  <si>
    <t>RF-06</t>
  </si>
  <si>
    <t>Role-based authorisation with 3 override layers; explicit Revoke beats any lower Grant</t>
  </si>
  <si>
    <t>RF-07</t>
  </si>
  <si>
    <t>All authorisation decisions flow through ICnpPermissionService; direct role checks prohibited</t>
  </si>
  <si>
    <t>RF-18</t>
  </si>
  <si>
    <t>Thin, data-driven workflow executor - all states, transitions, guards and side-effects live as rows in 5 cnp_global tables</t>
  </si>
  <si>
    <t>XL</t>
  </si>
  <si>
    <t>RF-19</t>
  </si>
  <si>
    <t>Conditions and actions resolve to named hooks registered per entity type and resolved by DI; engine never calls business code directly</t>
  </si>
  <si>
    <t>RF-22</t>
  </si>
  <si>
    <t>Every executed transition writes audit-trail rows (who, when, from/to state, outcome of conditions and actions)</t>
  </si>
  <si>
    <t>S3</t>
  </si>
  <si>
    <t>Weeks 7-8</t>
  </si>
  <si>
    <t>RF-08</t>
  </si>
  <si>
    <t>IsFederal permissions are irrevocable by any override layer</t>
  </si>
  <si>
    <t>RF-09</t>
  </si>
  <si>
    <t>UserRoleAssignments carry ScopeType, enforced automatically at the repository layer (replaces ~5,082 legacy per-object ACL rows)</t>
  </si>
  <si>
    <t>RF-10</t>
  </si>
  <si>
    <t>Deliver the SECURITY permission domain + demo roles (SponsorDirector/Staff, Caseworker/Reviewer, StateAgencyAdmin, LINQConfigAdmin)</t>
  </si>
  <si>
    <t>RF-23</t>
  </si>
  <si>
    <t>Federal Controls</t>
  </si>
  <si>
    <t>NoNDLMatch federal pre-condition hook on the ApproveApplication transition, checking org name, EIN and named principals against NDL</t>
  </si>
  <si>
    <t>RF-24</t>
  </si>
  <si>
    <t>ConfirmedMatch is an absolute, non-overridable block on approval - no user, admin or config can bypass</t>
  </si>
  <si>
    <t>RF-25</t>
  </si>
  <si>
    <t>PossibleMatch routes to NdlOverrideRequests for human review rather than blocking outright</t>
  </si>
  <si>
    <t>RF-26</t>
  </si>
  <si>
    <t>NDL source may be a stub/synthetic dataset, but blocking behaviour and audit records are real</t>
  </si>
  <si>
    <t>RF-27</t>
  </si>
  <si>
    <t>On approval, FreezeClaimLaws writes an immutable ClaimLaws record snapshotting the eligibility rules in force</t>
  </si>
  <si>
    <t>S4</t>
  </si>
  <si>
    <t>Weeks 9-10</t>
  </si>
  <si>
    <t>RF-11</t>
  </si>
  <si>
    <t>Applications</t>
  </si>
  <si>
    <t>Sponsor can view a sponsor-scoped application list, open detail, complete the SNP annual application and submit it</t>
  </si>
  <si>
    <t>RF-12</t>
  </si>
  <si>
    <t>Application detail renders workflow action buttons dynamically - only transitions valid for state, role and permissions shown</t>
  </si>
  <si>
    <t>RF-13</t>
  </si>
  <si>
    <t>Caseworker can review a submitted application and either advance it or return it with corrections required</t>
  </si>
  <si>
    <t>RF-14</t>
  </si>
  <si>
    <t>State user with approval permission can approve; approval fires federal pre-condition checks and configured side-effects</t>
  </si>
  <si>
    <t>RF-15</t>
  </si>
  <si>
    <t>SNP lifecycle seeded as workflow config: Draft -&gt; Submitted -&gt; Under Review -&gt; (Returned) -&gt; Approved, Denied terminal</t>
  </si>
  <si>
    <t>RF-16</t>
  </si>
  <si>
    <t>Submission validation failures recorded and visible to the sponsor, with state-side override where config permits</t>
  </si>
  <si>
    <t>RF-17</t>
  </si>
  <si>
    <t>Server-defined application form (FormDefinition metadata -&gt; server-built field config); client never hardcodes structure</t>
  </si>
  <si>
    <t>S5</t>
  </si>
  <si>
    <t>Weeks 11-12</t>
  </si>
  <si>
    <t>RF-28</t>
  </si>
  <si>
    <t>The ClaimLaws freeze is visible in the UI after approval (demo shows the frozen snapshot)</t>
  </si>
  <si>
    <t>RF-29</t>
  </si>
  <si>
    <t>One generic freeze mechanism serves all programs via configuration - eliminates legacy per-program duplicated procedures</t>
  </si>
  <si>
    <t>RF-34</t>
  </si>
  <si>
    <t>Config Admin screen lets an authorised user change a tenant-level setting, observably live in under 10 minutes</t>
  </si>
  <si>
    <t>RF-35</t>
  </si>
  <si>
    <t>Every configuration write is logged to FieldChangeLog</t>
  </si>
  <si>
    <t>RF-37</t>
  </si>
  <si>
    <t>Audit</t>
  </si>
  <si>
    <t>Append-only audit layer with 100% capture of the demo flow</t>
  </si>
  <si>
    <t>Audit + Config Admin</t>
  </si>
  <si>
    <t>RF-38</t>
  </si>
  <si>
    <t>Audit records capture actor, timestamp, entity, action and before/after content (entity snapshots as JSONB)</t>
  </si>
  <si>
    <t>RF-39</t>
  </si>
  <si>
    <t>One audit timeline screen presents an application history end to end, human-readably, for the demo</t>
  </si>
  <si>
    <t>RF-40</t>
  </si>
  <si>
    <t>Audit data is immutable - no update or delete paths</t>
  </si>
  <si>
    <t>H</t>
  </si>
  <si>
    <t>Weeks 13-14</t>
  </si>
  <si>
    <t>RF-42</t>
  </si>
  <si>
    <t>Build only what the flow needs: ~20-30 cnp_global and ~60-80 cnp_ops tables; other domains ship as empty migration stubs</t>
  </si>
  <si>
    <t>RF-43</t>
  </si>
  <si>
    <t>Data spine ProgramGroups -&gt; ProgramGroupYears -&gt; ProgramGroupEnrollments; entities FK-chain through ProgramGroupYears</t>
  </si>
  <si>
    <t>RF-46</t>
  </si>
  <si>
    <t>Frontend: Angular 17+ SPA, net-new repo, reusing @linq/snackpaq + Angular Formly; program-year-scoped URLs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</si>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</sst>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3"/>
      <color rgb="FF1F3864"/>
      <name val="Arial"/>
      <family val="2"/>
    </font>
    <font>
      <sz val="10"/>
      <color rgb="FF000000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6"/>
  <sheetViews>
    <sheetView showGridLines="0" tabSelected="1" zoomScaleNormal="100" workbookViewId="0">
      <pane ySplit="4" topLeftCell="A5" activePane="bottomLeft" state="frozen"/>
      <selection pane="bottomLeft" activeCell="E5" sqref="E5"/>
    </sheetView>
  </sheetViews>
  <sheetFormatPr defaultColWidth="8.5703125" defaultRowHeight="14.45"/>
  <cols>
    <col min="1" max="1" width="23.140625" customWidth="1"/>
    <col min="2" max="2" width="12.140625" bestFit="1" customWidth="1"/>
    <col min="3" max="3" width="9" customWidth="1"/>
    <col min="4" max="4" width="23.42578125" customWidth="1"/>
    <col min="5" max="5" width="69.42578125" customWidth="1"/>
    <col min="6" max="6" width="19" customWidth="1"/>
    <col min="7" max="7" width="11" customWidth="1"/>
    <col min="8" max="8" width="22" customWidth="1"/>
  </cols>
  <sheetData>
    <row r="1" spans="1:8" ht="15.75" customHeight="1">
      <c r="A1" s="12" t="s">
        <v>0</v>
      </c>
      <c r="B1" s="13"/>
      <c r="C1" s="13"/>
      <c r="D1" s="13"/>
      <c r="E1" s="13"/>
      <c r="F1" s="13"/>
      <c r="G1" s="13"/>
      <c r="H1" s="13"/>
    </row>
    <row r="4" spans="1:8" ht="1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5" customHeight="1">
      <c r="A5" s="5" t="s">
        <v>9</v>
      </c>
      <c r="B5" s="5" t="s">
        <v>10</v>
      </c>
      <c r="C5" s="5" t="s">
        <v>11</v>
      </c>
      <c r="D5" s="7" t="s">
        <v>12</v>
      </c>
      <c r="E5" s="11" t="s">
        <v>13</v>
      </c>
      <c r="F5" s="5" t="s">
        <v>14</v>
      </c>
      <c r="G5" s="5">
        <v>16</v>
      </c>
      <c r="H5" s="7" t="s">
        <v>12</v>
      </c>
    </row>
    <row r="6" spans="1:8" ht="75" customHeight="1">
      <c r="A6" s="6" t="s">
        <v>9</v>
      </c>
      <c r="B6" s="6" t="s">
        <v>10</v>
      </c>
      <c r="C6" s="6" t="s">
        <v>15</v>
      </c>
      <c r="D6" s="9" t="s">
        <v>16</v>
      </c>
      <c r="E6" s="10" t="s">
        <v>17</v>
      </c>
      <c r="F6" s="6" t="s">
        <v>18</v>
      </c>
      <c r="G6" s="6">
        <v>32</v>
      </c>
      <c r="H6" s="9" t="s">
        <v>19</v>
      </c>
    </row>
    <row r="7" spans="1:8" ht="69.599999999999994" customHeight="1">
      <c r="A7" s="5" t="s">
        <v>9</v>
      </c>
      <c r="B7" s="5" t="s">
        <v>10</v>
      </c>
      <c r="C7" s="5" t="s">
        <v>20</v>
      </c>
      <c r="D7" s="7" t="s">
        <v>16</v>
      </c>
      <c r="E7" s="8" t="s">
        <v>21</v>
      </c>
      <c r="F7" s="5" t="s">
        <v>18</v>
      </c>
      <c r="G7" s="5">
        <v>48</v>
      </c>
      <c r="H7" s="7" t="s">
        <v>19</v>
      </c>
    </row>
    <row r="8" spans="1:8" ht="36.6" customHeight="1">
      <c r="A8" s="6" t="s">
        <v>9</v>
      </c>
      <c r="B8" s="6" t="s">
        <v>10</v>
      </c>
      <c r="C8" s="6" t="s">
        <v>22</v>
      </c>
      <c r="D8" s="9" t="s">
        <v>23</v>
      </c>
      <c r="E8" s="10" t="s">
        <v>24</v>
      </c>
      <c r="F8" s="6" t="s">
        <v>25</v>
      </c>
      <c r="G8" s="6">
        <v>72</v>
      </c>
      <c r="H8" s="9" t="s">
        <v>26</v>
      </c>
    </row>
    <row r="9" spans="1:8" ht="42" customHeight="1">
      <c r="A9" s="5" t="s">
        <v>9</v>
      </c>
      <c r="B9" s="5" t="s">
        <v>10</v>
      </c>
      <c r="C9" s="5" t="s">
        <v>27</v>
      </c>
      <c r="D9" s="7" t="s">
        <v>23</v>
      </c>
      <c r="E9" s="8" t="s">
        <v>28</v>
      </c>
      <c r="F9" s="5" t="s">
        <v>18</v>
      </c>
      <c r="G9" s="5">
        <v>40</v>
      </c>
      <c r="H9" s="7" t="s">
        <v>26</v>
      </c>
    </row>
    <row r="10" spans="1:8" ht="34.5" customHeight="1">
      <c r="A10" s="6" t="s">
        <v>9</v>
      </c>
      <c r="B10" s="6" t="s">
        <v>10</v>
      </c>
      <c r="C10" s="6" t="s">
        <v>29</v>
      </c>
      <c r="D10" s="9" t="s">
        <v>23</v>
      </c>
      <c r="E10" s="10" t="s">
        <v>30</v>
      </c>
      <c r="F10" s="6" t="s">
        <v>25</v>
      </c>
      <c r="G10" s="6">
        <v>56</v>
      </c>
      <c r="H10" s="9" t="s">
        <v>26</v>
      </c>
    </row>
    <row r="11" spans="1:8" ht="23.25" customHeight="1">
      <c r="A11" s="5" t="s">
        <v>9</v>
      </c>
      <c r="B11" s="5" t="s">
        <v>10</v>
      </c>
      <c r="C11" s="5" t="s">
        <v>31</v>
      </c>
      <c r="D11" s="7" t="s">
        <v>23</v>
      </c>
      <c r="E11" s="8" t="s">
        <v>32</v>
      </c>
      <c r="F11" s="5" t="s">
        <v>14</v>
      </c>
      <c r="G11" s="5">
        <v>16</v>
      </c>
      <c r="H11" s="7" t="s">
        <v>26</v>
      </c>
    </row>
    <row r="12" spans="1:8" ht="23.25" customHeight="1">
      <c r="A12" s="6" t="s">
        <v>33</v>
      </c>
      <c r="B12" s="6" t="s">
        <v>34</v>
      </c>
      <c r="C12" s="6" t="s">
        <v>35</v>
      </c>
      <c r="D12" s="9" t="s">
        <v>12</v>
      </c>
      <c r="E12" s="10" t="s">
        <v>36</v>
      </c>
      <c r="F12" s="6" t="s">
        <v>25</v>
      </c>
      <c r="G12" s="6">
        <v>60</v>
      </c>
      <c r="H12" s="9" t="s">
        <v>12</v>
      </c>
    </row>
    <row r="13" spans="1:8" ht="34.5" customHeight="1">
      <c r="A13" s="5" t="s">
        <v>33</v>
      </c>
      <c r="B13" s="5" t="s">
        <v>34</v>
      </c>
      <c r="C13" s="5" t="s">
        <v>37</v>
      </c>
      <c r="D13" s="7" t="s">
        <v>12</v>
      </c>
      <c r="E13" s="8" t="s">
        <v>38</v>
      </c>
      <c r="F13" s="5" t="s">
        <v>25</v>
      </c>
      <c r="G13" s="5">
        <v>48</v>
      </c>
      <c r="H13" s="7" t="s">
        <v>12</v>
      </c>
    </row>
    <row r="14" spans="1:8" ht="23.25" customHeight="1">
      <c r="A14" s="6" t="s">
        <v>33</v>
      </c>
      <c r="B14" s="6" t="s">
        <v>34</v>
      </c>
      <c r="C14" s="6" t="s">
        <v>39</v>
      </c>
      <c r="D14" s="9" t="s">
        <v>12</v>
      </c>
      <c r="E14" s="10" t="s">
        <v>40</v>
      </c>
      <c r="F14" s="6" t="s">
        <v>14</v>
      </c>
      <c r="G14" s="6">
        <v>20</v>
      </c>
      <c r="H14" s="9" t="s">
        <v>12</v>
      </c>
    </row>
    <row r="15" spans="1:8" ht="23.25" customHeight="1">
      <c r="A15" s="5" t="s">
        <v>33</v>
      </c>
      <c r="B15" s="5" t="s">
        <v>34</v>
      </c>
      <c r="C15" s="5" t="s">
        <v>41</v>
      </c>
      <c r="D15" s="7" t="s">
        <v>12</v>
      </c>
      <c r="E15" s="8" t="s">
        <v>42</v>
      </c>
      <c r="F15" s="5" t="s">
        <v>18</v>
      </c>
      <c r="G15" s="5">
        <v>32</v>
      </c>
      <c r="H15" s="7" t="s">
        <v>12</v>
      </c>
    </row>
    <row r="16" spans="1:8" ht="23.25" customHeight="1">
      <c r="A16" s="6" t="s">
        <v>33</v>
      </c>
      <c r="B16" s="6" t="s">
        <v>34</v>
      </c>
      <c r="C16" s="6" t="s">
        <v>43</v>
      </c>
      <c r="D16" s="9" t="s">
        <v>16</v>
      </c>
      <c r="E16" s="10" t="s">
        <v>44</v>
      </c>
      <c r="F16" s="6" t="s">
        <v>25</v>
      </c>
      <c r="G16" s="6">
        <v>64</v>
      </c>
      <c r="H16" s="9" t="s">
        <v>19</v>
      </c>
    </row>
    <row r="17" spans="1:8" ht="23.25" customHeight="1">
      <c r="A17" s="5" t="s">
        <v>33</v>
      </c>
      <c r="B17" s="5" t="s">
        <v>34</v>
      </c>
      <c r="C17" s="5" t="s">
        <v>45</v>
      </c>
      <c r="D17" s="7" t="s">
        <v>16</v>
      </c>
      <c r="E17" s="8" t="s">
        <v>46</v>
      </c>
      <c r="F17" s="5" t="s">
        <v>25</v>
      </c>
      <c r="G17" s="5">
        <v>64</v>
      </c>
      <c r="H17" s="7" t="s">
        <v>19</v>
      </c>
    </row>
    <row r="18" spans="1:8" ht="23.25" customHeight="1">
      <c r="A18" s="6" t="s">
        <v>47</v>
      </c>
      <c r="B18" s="6" t="s">
        <v>48</v>
      </c>
      <c r="C18" s="6" t="s">
        <v>49</v>
      </c>
      <c r="D18" s="9" t="s">
        <v>50</v>
      </c>
      <c r="E18" s="10" t="s">
        <v>51</v>
      </c>
      <c r="F18" s="6" t="s">
        <v>18</v>
      </c>
      <c r="G18" s="6">
        <v>40</v>
      </c>
      <c r="H18" s="9" t="s">
        <v>52</v>
      </c>
    </row>
    <row r="19" spans="1:8" ht="34.5" customHeight="1">
      <c r="A19" s="5" t="s">
        <v>47</v>
      </c>
      <c r="B19" s="5" t="s">
        <v>48</v>
      </c>
      <c r="C19" s="5" t="s">
        <v>53</v>
      </c>
      <c r="D19" s="7" t="s">
        <v>50</v>
      </c>
      <c r="E19" s="8" t="s">
        <v>54</v>
      </c>
      <c r="F19" s="5" t="s">
        <v>18</v>
      </c>
      <c r="G19" s="5">
        <v>32</v>
      </c>
      <c r="H19" s="7" t="s">
        <v>52</v>
      </c>
    </row>
    <row r="20" spans="1:8" ht="23.25" customHeight="1">
      <c r="A20" s="6" t="s">
        <v>47</v>
      </c>
      <c r="B20" s="6" t="s">
        <v>48</v>
      </c>
      <c r="C20" s="6" t="s">
        <v>55</v>
      </c>
      <c r="D20" s="9" t="s">
        <v>56</v>
      </c>
      <c r="E20" s="10" t="s">
        <v>57</v>
      </c>
      <c r="F20" s="6" t="s">
        <v>25</v>
      </c>
      <c r="G20" s="6">
        <v>64</v>
      </c>
      <c r="H20" s="9" t="s">
        <v>52</v>
      </c>
    </row>
    <row r="21" spans="1:8" ht="23.25" customHeight="1">
      <c r="A21" s="5" t="s">
        <v>47</v>
      </c>
      <c r="B21" s="5" t="s">
        <v>48</v>
      </c>
      <c r="C21" s="5" t="s">
        <v>58</v>
      </c>
      <c r="D21" s="7" t="s">
        <v>56</v>
      </c>
      <c r="E21" s="8" t="s">
        <v>59</v>
      </c>
      <c r="F21" s="5" t="s">
        <v>25</v>
      </c>
      <c r="G21" s="5">
        <v>56</v>
      </c>
      <c r="H21" s="7" t="s">
        <v>52</v>
      </c>
    </row>
    <row r="22" spans="1:8" ht="23.25" customHeight="1">
      <c r="A22" s="6" t="s">
        <v>47</v>
      </c>
      <c r="B22" s="6" t="s">
        <v>48</v>
      </c>
      <c r="C22" s="6" t="s">
        <v>60</v>
      </c>
      <c r="D22" s="9" t="s">
        <v>56</v>
      </c>
      <c r="E22" s="10" t="s">
        <v>61</v>
      </c>
      <c r="F22" s="6" t="s">
        <v>18</v>
      </c>
      <c r="G22" s="6">
        <v>28</v>
      </c>
      <c r="H22" s="9" t="s">
        <v>52</v>
      </c>
    </row>
    <row r="23" spans="1:8" ht="23.25" customHeight="1">
      <c r="A23" s="5" t="s">
        <v>47</v>
      </c>
      <c r="B23" s="5" t="s">
        <v>48</v>
      </c>
      <c r="C23" s="5" t="s">
        <v>62</v>
      </c>
      <c r="D23" s="7" t="s">
        <v>56</v>
      </c>
      <c r="E23" s="8" t="s">
        <v>63</v>
      </c>
      <c r="F23" s="5" t="s">
        <v>18</v>
      </c>
      <c r="G23" s="5">
        <v>36</v>
      </c>
      <c r="H23" s="7" t="s">
        <v>52</v>
      </c>
    </row>
    <row r="24" spans="1:8" ht="33" customHeight="1">
      <c r="A24" s="6" t="s">
        <v>47</v>
      </c>
      <c r="B24" s="6" t="s">
        <v>48</v>
      </c>
      <c r="C24" s="6" t="s">
        <v>64</v>
      </c>
      <c r="D24" s="9" t="s">
        <v>56</v>
      </c>
      <c r="E24" s="10" t="s">
        <v>65</v>
      </c>
      <c r="F24" s="6" t="s">
        <v>18</v>
      </c>
      <c r="G24" s="6">
        <v>32</v>
      </c>
      <c r="H24" s="9" t="s">
        <v>52</v>
      </c>
    </row>
    <row r="25" spans="1:8" ht="33" customHeight="1">
      <c r="A25" s="5" t="s">
        <v>47</v>
      </c>
      <c r="B25" s="5" t="s">
        <v>48</v>
      </c>
      <c r="C25" s="5" t="s">
        <v>66</v>
      </c>
      <c r="D25" s="7" t="s">
        <v>12</v>
      </c>
      <c r="E25" s="8" t="s">
        <v>67</v>
      </c>
      <c r="F25" s="5" t="s">
        <v>25</v>
      </c>
      <c r="G25" s="5">
        <v>72</v>
      </c>
      <c r="H25" s="7" t="s">
        <v>12</v>
      </c>
    </row>
    <row r="26" spans="1:8" ht="27.6" customHeight="1">
      <c r="A26" s="6" t="s">
        <v>47</v>
      </c>
      <c r="B26" s="6" t="s">
        <v>48</v>
      </c>
      <c r="C26" s="6" t="s">
        <v>68</v>
      </c>
      <c r="D26" s="9" t="s">
        <v>12</v>
      </c>
      <c r="E26" s="10" t="s">
        <v>69</v>
      </c>
      <c r="F26" s="6" t="s">
        <v>18</v>
      </c>
      <c r="G26" s="6">
        <v>40</v>
      </c>
      <c r="H26" s="9" t="s">
        <v>12</v>
      </c>
    </row>
    <row r="27" spans="1:8" ht="30.95" customHeight="1">
      <c r="A27" s="5" t="s">
        <v>47</v>
      </c>
      <c r="B27" s="5" t="s">
        <v>48</v>
      </c>
      <c r="C27" s="5" t="s">
        <v>70</v>
      </c>
      <c r="D27" s="7" t="s">
        <v>50</v>
      </c>
      <c r="E27" s="8" t="s">
        <v>71</v>
      </c>
      <c r="F27" s="5" t="s">
        <v>72</v>
      </c>
      <c r="G27" s="5">
        <v>100</v>
      </c>
      <c r="H27" s="7" t="s">
        <v>52</v>
      </c>
    </row>
    <row r="28" spans="1:8" ht="31.5" customHeight="1">
      <c r="A28" s="6" t="s">
        <v>47</v>
      </c>
      <c r="B28" s="6" t="s">
        <v>48</v>
      </c>
      <c r="C28" s="6" t="s">
        <v>73</v>
      </c>
      <c r="D28" s="9" t="s">
        <v>50</v>
      </c>
      <c r="E28" s="10" t="s">
        <v>74</v>
      </c>
      <c r="F28" s="6" t="s">
        <v>25</v>
      </c>
      <c r="G28" s="6">
        <v>56</v>
      </c>
      <c r="H28" s="9" t="s">
        <v>52</v>
      </c>
    </row>
    <row r="29" spans="1:8" ht="33.6" customHeight="1">
      <c r="A29" s="5" t="s">
        <v>47</v>
      </c>
      <c r="B29" s="5" t="s">
        <v>48</v>
      </c>
      <c r="C29" s="5" t="s">
        <v>75</v>
      </c>
      <c r="D29" s="7" t="s">
        <v>50</v>
      </c>
      <c r="E29" s="8" t="s">
        <v>76</v>
      </c>
      <c r="F29" s="5" t="s">
        <v>18</v>
      </c>
      <c r="G29" s="5">
        <v>28</v>
      </c>
      <c r="H29" s="7" t="s">
        <v>52</v>
      </c>
    </row>
    <row r="30" spans="1:8" ht="15" customHeight="1">
      <c r="A30" s="6" t="s">
        <v>77</v>
      </c>
      <c r="B30" s="6" t="s">
        <v>78</v>
      </c>
      <c r="C30" s="6" t="s">
        <v>79</v>
      </c>
      <c r="D30" s="9" t="s">
        <v>12</v>
      </c>
      <c r="E30" s="10" t="s">
        <v>80</v>
      </c>
      <c r="F30" s="6" t="s">
        <v>18</v>
      </c>
      <c r="G30" s="6">
        <v>24</v>
      </c>
      <c r="H30" s="9" t="s">
        <v>12</v>
      </c>
    </row>
    <row r="31" spans="1:8" ht="29.1" customHeight="1">
      <c r="A31" s="5" t="s">
        <v>77</v>
      </c>
      <c r="B31" s="5" t="s">
        <v>78</v>
      </c>
      <c r="C31" s="5" t="s">
        <v>81</v>
      </c>
      <c r="D31" s="7" t="s">
        <v>12</v>
      </c>
      <c r="E31" s="8" t="s">
        <v>82</v>
      </c>
      <c r="F31" s="5" t="s">
        <v>25</v>
      </c>
      <c r="G31" s="5">
        <v>64</v>
      </c>
      <c r="H31" s="7" t="s">
        <v>12</v>
      </c>
    </row>
    <row r="32" spans="1:8" ht="39.950000000000003" customHeight="1">
      <c r="A32" s="6" t="s">
        <v>77</v>
      </c>
      <c r="B32" s="6" t="s">
        <v>78</v>
      </c>
      <c r="C32" s="6" t="s">
        <v>83</v>
      </c>
      <c r="D32" s="9" t="s">
        <v>12</v>
      </c>
      <c r="E32" s="10" t="s">
        <v>84</v>
      </c>
      <c r="F32" s="6" t="s">
        <v>18</v>
      </c>
      <c r="G32" s="6">
        <v>32</v>
      </c>
      <c r="H32" s="9" t="s">
        <v>12</v>
      </c>
    </row>
    <row r="33" spans="1:8" ht="36.6" customHeight="1">
      <c r="A33" s="5" t="s">
        <v>77</v>
      </c>
      <c r="B33" s="5" t="s">
        <v>78</v>
      </c>
      <c r="C33" s="5" t="s">
        <v>85</v>
      </c>
      <c r="D33" s="7" t="s">
        <v>86</v>
      </c>
      <c r="E33" s="8" t="s">
        <v>87</v>
      </c>
      <c r="F33" s="5" t="s">
        <v>25</v>
      </c>
      <c r="G33" s="5">
        <v>48</v>
      </c>
      <c r="H33" s="7" t="s">
        <v>52</v>
      </c>
    </row>
    <row r="34" spans="1:8" ht="29.1" customHeight="1">
      <c r="A34" s="6" t="s">
        <v>77</v>
      </c>
      <c r="B34" s="6" t="s">
        <v>78</v>
      </c>
      <c r="C34" s="6" t="s">
        <v>88</v>
      </c>
      <c r="D34" s="9" t="s">
        <v>86</v>
      </c>
      <c r="E34" s="10" t="s">
        <v>89</v>
      </c>
      <c r="F34" s="6" t="s">
        <v>18</v>
      </c>
      <c r="G34" s="6">
        <v>24</v>
      </c>
      <c r="H34" s="9" t="s">
        <v>52</v>
      </c>
    </row>
    <row r="35" spans="1:8" ht="23.25" customHeight="1">
      <c r="A35" s="5" t="s">
        <v>77</v>
      </c>
      <c r="B35" s="5" t="s">
        <v>78</v>
      </c>
      <c r="C35" s="5" t="s">
        <v>90</v>
      </c>
      <c r="D35" s="7" t="s">
        <v>86</v>
      </c>
      <c r="E35" s="8" t="s">
        <v>91</v>
      </c>
      <c r="F35" s="5" t="s">
        <v>18</v>
      </c>
      <c r="G35" s="5">
        <v>32</v>
      </c>
      <c r="H35" s="7" t="s">
        <v>52</v>
      </c>
    </row>
    <row r="36" spans="1:8" ht="30.6" customHeight="1">
      <c r="A36" s="6" t="s">
        <v>77</v>
      </c>
      <c r="B36" s="6" t="s">
        <v>78</v>
      </c>
      <c r="C36" s="6" t="s">
        <v>92</v>
      </c>
      <c r="D36" s="9" t="s">
        <v>86</v>
      </c>
      <c r="E36" s="10" t="s">
        <v>93</v>
      </c>
      <c r="F36" s="6" t="s">
        <v>18</v>
      </c>
      <c r="G36" s="6">
        <v>28</v>
      </c>
      <c r="H36" s="9" t="s">
        <v>52</v>
      </c>
    </row>
    <row r="37" spans="1:8" ht="33.950000000000003" customHeight="1">
      <c r="A37" s="5" t="s">
        <v>77</v>
      </c>
      <c r="B37" s="5" t="s">
        <v>78</v>
      </c>
      <c r="C37" s="5" t="s">
        <v>94</v>
      </c>
      <c r="D37" s="7" t="s">
        <v>86</v>
      </c>
      <c r="E37" s="8" t="s">
        <v>95</v>
      </c>
      <c r="F37" s="5" t="s">
        <v>25</v>
      </c>
      <c r="G37" s="5">
        <v>56</v>
      </c>
      <c r="H37" s="7" t="s">
        <v>52</v>
      </c>
    </row>
    <row r="38" spans="1:8" ht="30" customHeight="1">
      <c r="A38" s="6" t="s">
        <v>96</v>
      </c>
      <c r="B38" s="6" t="s">
        <v>97</v>
      </c>
      <c r="C38" s="6" t="s">
        <v>98</v>
      </c>
      <c r="D38" s="9" t="s">
        <v>99</v>
      </c>
      <c r="E38" s="10" t="s">
        <v>100</v>
      </c>
      <c r="F38" s="6" t="s">
        <v>25</v>
      </c>
      <c r="G38" s="6">
        <v>64</v>
      </c>
      <c r="H38" s="9" t="s">
        <v>52</v>
      </c>
    </row>
    <row r="39" spans="1:8" ht="33.6" customHeight="1">
      <c r="A39" s="5" t="s">
        <v>96</v>
      </c>
      <c r="B39" s="5" t="s">
        <v>97</v>
      </c>
      <c r="C39" s="5" t="s">
        <v>101</v>
      </c>
      <c r="D39" s="7" t="s">
        <v>99</v>
      </c>
      <c r="E39" s="8" t="s">
        <v>102</v>
      </c>
      <c r="F39" s="5" t="s">
        <v>18</v>
      </c>
      <c r="G39" s="5">
        <v>40</v>
      </c>
      <c r="H39" s="7" t="s">
        <v>52</v>
      </c>
    </row>
    <row r="40" spans="1:8" ht="31.5" customHeight="1">
      <c r="A40" s="6" t="s">
        <v>96</v>
      </c>
      <c r="B40" s="6" t="s">
        <v>97</v>
      </c>
      <c r="C40" s="6" t="s">
        <v>103</v>
      </c>
      <c r="D40" s="9" t="s">
        <v>99</v>
      </c>
      <c r="E40" s="10" t="s">
        <v>104</v>
      </c>
      <c r="F40" s="6" t="s">
        <v>18</v>
      </c>
      <c r="G40" s="6">
        <v>40</v>
      </c>
      <c r="H40" s="9" t="s">
        <v>52</v>
      </c>
    </row>
    <row r="41" spans="1:8" ht="31.5" customHeight="1">
      <c r="A41" s="5" t="s">
        <v>96</v>
      </c>
      <c r="B41" s="5" t="s">
        <v>97</v>
      </c>
      <c r="C41" s="5" t="s">
        <v>105</v>
      </c>
      <c r="D41" s="7" t="s">
        <v>99</v>
      </c>
      <c r="E41" s="8" t="s">
        <v>106</v>
      </c>
      <c r="F41" s="5" t="s">
        <v>18</v>
      </c>
      <c r="G41" s="5">
        <v>36</v>
      </c>
      <c r="H41" s="7" t="s">
        <v>52</v>
      </c>
    </row>
    <row r="42" spans="1:8" ht="31.5" customHeight="1">
      <c r="A42" s="6" t="s">
        <v>96</v>
      </c>
      <c r="B42" s="6" t="s">
        <v>97</v>
      </c>
      <c r="C42" s="6" t="s">
        <v>107</v>
      </c>
      <c r="D42" s="9" t="s">
        <v>99</v>
      </c>
      <c r="E42" s="10" t="s">
        <v>108</v>
      </c>
      <c r="F42" s="6" t="s">
        <v>18</v>
      </c>
      <c r="G42" s="6">
        <v>32</v>
      </c>
      <c r="H42" s="9" t="s">
        <v>52</v>
      </c>
    </row>
    <row r="43" spans="1:8" ht="32.450000000000003" customHeight="1">
      <c r="A43" s="5" t="s">
        <v>96</v>
      </c>
      <c r="B43" s="5" t="s">
        <v>97</v>
      </c>
      <c r="C43" s="5" t="s">
        <v>109</v>
      </c>
      <c r="D43" s="7" t="s">
        <v>99</v>
      </c>
      <c r="E43" s="8" t="s">
        <v>110</v>
      </c>
      <c r="F43" s="5" t="s">
        <v>18</v>
      </c>
      <c r="G43" s="5">
        <v>32</v>
      </c>
      <c r="H43" s="7" t="s">
        <v>52</v>
      </c>
    </row>
    <row r="44" spans="1:8" ht="32.1" customHeight="1">
      <c r="A44" s="6" t="s">
        <v>96</v>
      </c>
      <c r="B44" s="6" t="s">
        <v>97</v>
      </c>
      <c r="C44" s="6" t="s">
        <v>111</v>
      </c>
      <c r="D44" s="9" t="s">
        <v>99</v>
      </c>
      <c r="E44" s="10" t="s">
        <v>112</v>
      </c>
      <c r="F44" s="6" t="s">
        <v>25</v>
      </c>
      <c r="G44" s="6">
        <v>56</v>
      </c>
      <c r="H44" s="9" t="s">
        <v>52</v>
      </c>
    </row>
    <row r="45" spans="1:8" ht="30.95" customHeight="1">
      <c r="A45" s="5" t="s">
        <v>113</v>
      </c>
      <c r="B45" s="5" t="s">
        <v>114</v>
      </c>
      <c r="C45" s="5" t="s">
        <v>115</v>
      </c>
      <c r="D45" s="7" t="s">
        <v>86</v>
      </c>
      <c r="E45" s="8" t="s">
        <v>116</v>
      </c>
      <c r="F45" s="5" t="s">
        <v>18</v>
      </c>
      <c r="G45" s="5">
        <v>24</v>
      </c>
      <c r="H45" s="7" t="s">
        <v>52</v>
      </c>
    </row>
    <row r="46" spans="1:8" ht="29.1" customHeight="1">
      <c r="A46" s="6" t="s">
        <v>113</v>
      </c>
      <c r="B46" s="6" t="s">
        <v>114</v>
      </c>
      <c r="C46" s="6" t="s">
        <v>117</v>
      </c>
      <c r="D46" s="9" t="s">
        <v>86</v>
      </c>
      <c r="E46" s="10" t="s">
        <v>118</v>
      </c>
      <c r="F46" s="6" t="s">
        <v>18</v>
      </c>
      <c r="G46" s="6">
        <v>32</v>
      </c>
      <c r="H46" s="9" t="s">
        <v>52</v>
      </c>
    </row>
    <row r="47" spans="1:8" ht="33" customHeight="1">
      <c r="A47" s="5" t="s">
        <v>113</v>
      </c>
      <c r="B47" s="5" t="s">
        <v>114</v>
      </c>
      <c r="C47" s="5" t="s">
        <v>119</v>
      </c>
      <c r="D47" s="7" t="s">
        <v>56</v>
      </c>
      <c r="E47" s="8" t="s">
        <v>120</v>
      </c>
      <c r="F47" s="5" t="s">
        <v>25</v>
      </c>
      <c r="G47" s="5">
        <v>60</v>
      </c>
      <c r="H47" s="7" t="s">
        <v>52</v>
      </c>
    </row>
    <row r="48" spans="1:8" ht="15" customHeight="1">
      <c r="A48" s="6" t="s">
        <v>113</v>
      </c>
      <c r="B48" s="6" t="s">
        <v>114</v>
      </c>
      <c r="C48" s="6" t="s">
        <v>121</v>
      </c>
      <c r="D48" s="9" t="s">
        <v>56</v>
      </c>
      <c r="E48" s="10" t="s">
        <v>122</v>
      </c>
      <c r="F48" s="6" t="s">
        <v>14</v>
      </c>
      <c r="G48" s="6">
        <v>24</v>
      </c>
      <c r="H48" s="9" t="s">
        <v>52</v>
      </c>
    </row>
    <row r="49" spans="1:8" ht="15" customHeight="1">
      <c r="A49" s="5" t="s">
        <v>113</v>
      </c>
      <c r="B49" s="5" t="s">
        <v>114</v>
      </c>
      <c r="C49" s="5" t="s">
        <v>123</v>
      </c>
      <c r="D49" s="7" t="s">
        <v>124</v>
      </c>
      <c r="E49" s="8" t="s">
        <v>125</v>
      </c>
      <c r="F49" s="5" t="s">
        <v>25</v>
      </c>
      <c r="G49" s="5">
        <v>56</v>
      </c>
      <c r="H49" s="7" t="s">
        <v>126</v>
      </c>
    </row>
    <row r="50" spans="1:8" ht="32.450000000000003" customHeight="1">
      <c r="A50" s="6" t="s">
        <v>113</v>
      </c>
      <c r="B50" s="6" t="s">
        <v>114</v>
      </c>
      <c r="C50" s="6" t="s">
        <v>127</v>
      </c>
      <c r="D50" s="9" t="s">
        <v>124</v>
      </c>
      <c r="E50" s="10" t="s">
        <v>128</v>
      </c>
      <c r="F50" s="6" t="s">
        <v>25</v>
      </c>
      <c r="G50" s="6">
        <v>56</v>
      </c>
      <c r="H50" s="9" t="s">
        <v>126</v>
      </c>
    </row>
    <row r="51" spans="1:8" ht="31.5" customHeight="1">
      <c r="A51" s="5" t="s">
        <v>113</v>
      </c>
      <c r="B51" s="5" t="s">
        <v>114</v>
      </c>
      <c r="C51" s="5" t="s">
        <v>129</v>
      </c>
      <c r="D51" s="7" t="s">
        <v>124</v>
      </c>
      <c r="E51" s="8" t="s">
        <v>130</v>
      </c>
      <c r="F51" s="5" t="s">
        <v>18</v>
      </c>
      <c r="G51" s="5">
        <v>48</v>
      </c>
      <c r="H51" s="7" t="s">
        <v>126</v>
      </c>
    </row>
    <row r="52" spans="1:8" ht="15" customHeight="1">
      <c r="A52" s="6" t="s">
        <v>113</v>
      </c>
      <c r="B52" s="6" t="s">
        <v>114</v>
      </c>
      <c r="C52" s="6" t="s">
        <v>131</v>
      </c>
      <c r="D52" s="9" t="s">
        <v>124</v>
      </c>
      <c r="E52" s="10" t="s">
        <v>132</v>
      </c>
      <c r="F52" s="6" t="s">
        <v>14</v>
      </c>
      <c r="G52" s="6">
        <v>20</v>
      </c>
      <c r="H52" s="9" t="s">
        <v>126</v>
      </c>
    </row>
    <row r="53" spans="1:8" ht="23.25" customHeight="1">
      <c r="A53" s="5" t="s">
        <v>133</v>
      </c>
      <c r="B53" s="5" t="s">
        <v>134</v>
      </c>
      <c r="C53" s="5" t="s">
        <v>135</v>
      </c>
      <c r="D53" s="7" t="s">
        <v>16</v>
      </c>
      <c r="E53" s="8" t="s">
        <v>136</v>
      </c>
      <c r="F53" s="5" t="s">
        <v>25</v>
      </c>
      <c r="G53" s="5">
        <v>72</v>
      </c>
      <c r="H53" s="7" t="s">
        <v>19</v>
      </c>
    </row>
    <row r="54" spans="1:8" ht="34.5" customHeight="1">
      <c r="A54" s="6" t="s">
        <v>133</v>
      </c>
      <c r="B54" s="6" t="s">
        <v>134</v>
      </c>
      <c r="C54" s="6" t="s">
        <v>137</v>
      </c>
      <c r="D54" s="9" t="s">
        <v>16</v>
      </c>
      <c r="E54" s="10" t="s">
        <v>138</v>
      </c>
      <c r="F54" s="6" t="s">
        <v>25</v>
      </c>
      <c r="G54" s="6">
        <v>48</v>
      </c>
      <c r="H54" s="9" t="s">
        <v>19</v>
      </c>
    </row>
    <row r="55" spans="1:8" ht="23.25" customHeight="1">
      <c r="A55" s="5" t="s">
        <v>133</v>
      </c>
      <c r="B55" s="5" t="s">
        <v>134</v>
      </c>
      <c r="C55" s="5" t="s">
        <v>139</v>
      </c>
      <c r="D55" s="7" t="s">
        <v>16</v>
      </c>
      <c r="E55" s="8" t="s">
        <v>140</v>
      </c>
      <c r="F55" s="5" t="s">
        <v>25</v>
      </c>
      <c r="G55" s="5">
        <v>64</v>
      </c>
      <c r="H55" s="7" t="s">
        <v>19</v>
      </c>
    </row>
    <row r="56" spans="1:8" ht="15" customHeight="1">
      <c r="A56" s="4"/>
      <c r="B56" s="4"/>
      <c r="C56" s="4"/>
      <c r="D56" s="4"/>
      <c r="E56" s="4"/>
      <c r="F56" s="2" t="s">
        <v>141</v>
      </c>
      <c r="G56" s="3">
        <f>SUM(G5:G55)</f>
        <v>2264</v>
      </c>
      <c r="H56" s="4"/>
    </row>
  </sheetData>
  <autoFilter ref="A4:H56" xr:uid="{00000000-0009-0000-0000-000003000000}"/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CBF37EDB674644B9E05A0C0FA0DAFF" ma:contentTypeVersion="10" ma:contentTypeDescription="Create a new document." ma:contentTypeScope="" ma:versionID="c33e466e80053f35a56612187e14b487">
  <xsd:schema xmlns:xsd="http://www.w3.org/2001/XMLSchema" xmlns:xs="http://www.w3.org/2001/XMLSchema" xmlns:p="http://schemas.microsoft.com/office/2006/metadata/properties" xmlns:ns2="ed551d30-b5f0-4a9e-9dc9-29e9498336d8" xmlns:ns3="66bc40d6-14cc-4453-99cf-1a4631af9087" targetNamespace="http://schemas.microsoft.com/office/2006/metadata/properties" ma:root="true" ma:fieldsID="a408baf7c5f5530e11895ff4d2c54da1" ns2:_="" ns3:_="">
    <xsd:import namespace="ed551d30-b5f0-4a9e-9dc9-29e9498336d8"/>
    <xsd:import namespace="66bc40d6-14cc-4453-99cf-1a4631af90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51d30-b5f0-4a9e-9dc9-29e9498336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e56268b-d720-4abd-9dd3-1810dbcdc2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bc40d6-14cc-4453-99cf-1a4631af90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88d2de3-23ac-4489-8c52-36a16482ceca}" ma:internalName="TaxCatchAll" ma:showField="CatchAllData" ma:web="66bc40d6-14cc-4453-99cf-1a4631af90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551d30-b5f0-4a9e-9dc9-29e9498336d8">
      <Terms xmlns="http://schemas.microsoft.com/office/infopath/2007/PartnerControls"/>
    </lcf76f155ced4ddcb4097134ff3c332f>
    <TaxCatchAll xmlns="66bc40d6-14cc-4453-99cf-1a4631af90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07A031-4F49-4A13-8F7C-80E9ACA0CBEC}"/>
</file>

<file path=customXml/itemProps2.xml><?xml version="1.0" encoding="utf-8"?>
<ds:datastoreItem xmlns:ds="http://schemas.openxmlformats.org/officeDocument/2006/customXml" ds:itemID="{6B05BD0D-A6FC-4FF8-9F8F-E7831D7F6D75}"/>
</file>

<file path=customXml/itemProps3.xml><?xml version="1.0" encoding="utf-8"?>
<ds:datastoreItem xmlns:ds="http://schemas.openxmlformats.org/officeDocument/2006/customXml" ds:itemID="{BB52CE2D-C07A-48CD-A8F5-7CEB2234F0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Pratibha Tanwar</cp:lastModifiedBy>
  <cp:revision>0</cp:revision>
  <dcterms:created xsi:type="dcterms:W3CDTF">2026-07-10T00:25:37Z</dcterms:created>
  <dcterms:modified xsi:type="dcterms:W3CDTF">2026-09-09T10:22:14Z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0x01010074CBF37EDB674644B9E05A0C0FA0DAFF</vt:lpwstr>
  </property>
  <property fmtid="{D5CDD505-2E9C-101B-9397-08002B2CF9AE}" pid="3" name="MediaServiceImageTags">
    <vt:lpwstr/>
  </property>
</Properties>
</file>